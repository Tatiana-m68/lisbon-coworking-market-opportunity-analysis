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80f8aba19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ish_Data" sheetId="1" r:id="R15a91556ce8c4e11"/>
    <x:sheet xmlns:r="http://schemas.openxmlformats.org/officeDocument/2006/relationships" name="SCR_Recommendations" sheetId="2" r:id="R681d7b619c0c4ea3"/>
    <x:sheet xmlns:r="http://schemas.openxmlformats.org/officeDocument/2006/relationships" name="Field_Guide" sheetId="3" r:id="R4b4329566861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0"/>
    <x:numFmt numFmtId="202" formatCode="0.00"/>
    <x:numFmt numFmtId="203" formatCode="€0.00"/>
    <x:numFmt numFmtId="204" formatCode="0"/>
    <x:numFmt numFmtId="205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3"/>
      <x:name val="Aptos"/>
    </x:font>
    <x:font>
      <x:sz val="10"/>
      <x:color rgb="FF1F29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7">
    <x:border/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bottom style="thin">
        <x:color rgb="FFD5DEE5"/>
      </x:bottom>
    </x:border>
    <x:border>
      <x:top style="thin">
        <x:color rgb="FFD5DEE5"/>
      </x:top>
      <x:bottom style="thin">
        <x:color rgb="FFD5DEE5"/>
      </x:bottom>
    </x:border>
    <x:border>
      <x:top style="thin">
        <x:color rgb="FFD5DEE5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/>
    <x:xf numFmtId="201" fontId="3" fillId="0" borderId="4" xfId="0" applyNumberFormat="1" applyFont="1" applyFill="1" applyBorder="1"/>
    <x:xf numFmtId="202" fontId="3" fillId="0" borderId="4" xfId="0" applyNumberFormat="1" applyFont="1" applyFill="1" applyBorder="1"/>
    <x:xf numFmtId="203" fontId="3" fillId="0" borderId="4" xfId="0" applyNumberFormat="1" applyFont="1" applyFill="1" applyBorder="1"/>
    <x:xf numFmtId="204" fontId="3" fillId="0" borderId="4" xfId="0" applyNumberFormat="1" applyFont="1" applyFill="1" applyBorder="1"/>
    <x:xf numFmtId="205" fontId="3" fillId="0" borderId="4" xfId="0" applyNumberFormat="1" applyFont="1" applyFill="1" applyBorder="1"/>
    <x:xf numFmtId="0" fontId="3" fillId="0" borderId="5" xfId="0" applyNumberFormat="1" applyFont="1" applyFill="1" applyBorder="1"/>
    <x:xf numFmtId="200" fontId="3" fillId="0" borderId="5" xfId="0" applyNumberFormat="1" applyFont="1" applyFill="1" applyBorder="1"/>
    <x:xf numFmtId="201" fontId="3" fillId="0" borderId="5" xfId="0" applyNumberFormat="1" applyFont="1" applyFill="1" applyBorder="1"/>
    <x:xf numFmtId="202" fontId="3" fillId="0" borderId="5" xfId="0" applyNumberFormat="1" applyFont="1" applyFill="1" applyBorder="1"/>
    <x:xf numFmtId="203" fontId="3" fillId="0" borderId="5" xfId="0" applyNumberFormat="1" applyFont="1" applyFill="1" applyBorder="1"/>
    <x:xf numFmtId="204" fontId="3" fillId="0" borderId="5" xfId="0" applyNumberFormat="1" applyFont="1" applyFill="1" applyBorder="1"/>
    <x:xf numFmtId="205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6" xfId="0" applyNumberFormat="1" applyFont="1" applyFill="1" applyBorder="1"/>
    <x:xf numFmtId="201" fontId="3" fillId="0" borderId="6" xfId="0" applyNumberFormat="1" applyFont="1" applyFill="1" applyBorder="1"/>
    <x:xf numFmtId="202" fontId="3" fillId="0" borderId="6" xfId="0" applyNumberFormat="1" applyFont="1" applyFill="1" applyBorder="1"/>
    <x:xf numFmtId="203" fontId="3" fillId="0" borderId="6" xfId="0" applyNumberFormat="1" applyFont="1" applyFill="1" applyBorder="1"/>
    <x:xf numFmtId="204" fontId="3" fillId="0" borderId="6" xfId="0" applyNumberFormat="1" applyFont="1" applyFill="1" applyBorder="1"/>
    <x:xf numFmtId="205" fontId="3" fillId="0" borderId="6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F2933"/>
      </x:font>
      <x:fill>
        <x:patternFill patternType="solid">
          <x:bgColor rgb="FFE8F3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9f6a434014124" /><Relationship Type="http://schemas.openxmlformats.org/officeDocument/2006/relationships/theme" Target="/xl/theme/theme1.xml" Id="R80e8785040e24bfc" /><Relationship Type="http://schemas.openxmlformats.org/officeDocument/2006/relationships/sharedStrings" Target="/xl/sharedStrings.xml" Id="R844be4ce64774e87" /><Relationship Type="http://schemas.openxmlformats.org/officeDocument/2006/relationships/worksheet" Target="/xl/worksheets/sheet1.xml" Id="R15a91556ce8c4e11" /><Relationship Type="http://schemas.openxmlformats.org/officeDocument/2006/relationships/worksheet" Target="/xl/worksheets/sheet2.xml" Id="R681d7b619c0c4ea3" /><Relationship Type="http://schemas.openxmlformats.org/officeDocument/2006/relationships/worksheet" Target="/xl/worksheets/sheet3.xml" Id="R4b4329566861484e" /></Relationships>
</file>

<file path=xl/tables/table1.xml><?xml version="1.0" encoding="utf-8"?>
<x:table xmlns:x="http://schemas.openxmlformats.org/spreadsheetml/2006/main" id="1" name="ParishDashboardData" displayName="ParishDashboardData" ref="A1:V25" headerRowCount="1" totalsRowCount="0" totalsRowShown="0">
  <x:tableColumns count="22">
    <x:tableColumn id="1" name="parish"/>
    <x:tableColumn id="2" name="population_total"/>
    <x:tableColumn id="3" name="working_age_population_15_64"/>
    <x:tableColumn id="4" name="working_age_population_density_km2"/>
    <x:tableColumn id="5" name="coworking_count"/>
    <x:tableColumn id="6" name="coworking_per_10000_working_age"/>
    <x:tableColumn id="7" name="office_count"/>
    <x:tableColumn id="8" name="demand_proxy_score"/>
    <x:tableColumn id="9" name="transit_access_score"/>
    <x:tableColumn id="10" name="competition_opportunity_score"/>
    <x:tableColumn id="11" name="median_rent_eur_m2_month"/>
    <x:tableColumn id="12" name="rent_sample_size"/>
    <x:tableColumn id="13" name="rent_coverage_flag"/>
    <x:tableColumn id="14" name="rent_opportunity_score"/>
    <x:tableColumn id="15" name="pilot_opportunity_score"/>
    <x:tableColumn id="16" name="pilot_rank"/>
    <x:tableColumn id="17" name="shortlist_flag"/>
    <x:tableColumn id="18" name="shortlist_display_order"/>
    <x:tableColumn id="19" name="business_option"/>
    <x:tableColumn id="20" name="chart_color"/>
    <x:tableColumn id="21" name="population_reference_year"/>
    <x:tableColumn id="22" name="collection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Recommendations" displayName="SCRRecommendations" ref="A1:G4" headerRowCount="1" totalsRowCount="0" totalsRowShown="0">
  <x:tableColumns count="7">
    <x:tableColumn id="1" name="display_order"/>
    <x:tableColumn id="2" name="parish"/>
    <x:tableColumn id="3" name="business_option"/>
    <x:tableColumn id="4" name="situation"/>
    <x:tableColumn id="5" name="complication"/>
    <x:tableColumn id="6" name="resolution"/>
    <x:tableColumn id="7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shboardFieldGuide" displayName="DashboardFieldGuide" ref="A1:C8" headerRowCount="1" totalsRowCount="0" totalsRowShown="0">
  <x:tableColumns count="3">
    <x:tableColumn id="1" name="field"/>
    <x:tableColumn id="2" name="meaning"/>
    <x:tableColumn id="3" name="dashboard_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3750bc74e045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1dfc69797a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4655ec93794f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4" hidden="0" customWidth="1"/>
  </x:cols>
  <x:sheetData>
    <x:row r="1" ht="34" customHeight="1">
      <x:c r="A1" s="16" t="str">
        <x:v>parish</x:v>
      </x:c>
      <x:c r="B1" s="17" t="str">
        <x:v>population_total</x:v>
      </x:c>
      <x:c r="C1" s="17" t="str">
        <x:v>working_age_population_15_64</x:v>
      </x:c>
      <x:c r="D1" s="17" t="str">
        <x:v>working_age_population_density_km2</x:v>
      </x:c>
      <x:c r="E1" s="17" t="str">
        <x:v>coworking_count</x:v>
      </x:c>
      <x:c r="F1" s="17" t="str">
        <x:v>coworking_per_10000_working_age</x:v>
      </x:c>
      <x:c r="G1" s="17" t="str">
        <x:v>office_count</x:v>
      </x:c>
      <x:c r="H1" s="17" t="str">
        <x:v>demand_proxy_score</x:v>
      </x:c>
      <x:c r="I1" s="17" t="str">
        <x:v>transit_access_score</x:v>
      </x:c>
      <x:c r="J1" s="17" t="str">
        <x:v>competition_opportunity_score</x:v>
      </x:c>
      <x:c r="K1" s="17" t="str">
        <x:v>median_rent_eur_m2_month</x:v>
      </x:c>
      <x:c r="L1" s="17" t="str">
        <x:v>rent_sample_size</x:v>
      </x:c>
      <x:c r="M1" s="17" t="str">
        <x:v>rent_coverage_flag</x:v>
      </x:c>
      <x:c r="N1" s="17" t="str">
        <x:v>rent_opportunity_score</x:v>
      </x:c>
      <x:c r="O1" s="17" t="str">
        <x:v>pilot_opportunity_score</x:v>
      </x:c>
      <x:c r="P1" s="17" t="str">
        <x:v>pilot_rank</x:v>
      </x:c>
      <x:c r="Q1" s="17" t="str">
        <x:v>shortlist_flag</x:v>
      </x:c>
      <x:c r="R1" s="17" t="str">
        <x:v>shortlist_display_order</x:v>
      </x:c>
      <x:c r="S1" s="17" t="str">
        <x:v>business_option</x:v>
      </x:c>
      <x:c r="T1" s="17" t="str">
        <x:v>chart_color</x:v>
      </x:c>
      <x:c r="U1" s="17" t="str">
        <x:v>population_reference_year</x:v>
      </x:c>
      <x:c r="V1" s="18" t="str">
        <x:v>collection_date</x:v>
      </x:c>
    </x:row>
    <x:row r="2">
      <x:c r="A2" s="25" t="str">
        <x:v>Ajuda</x:v>
      </x:c>
      <x:c r="B2" s="26" t="n">
        <x:v>14306</x:v>
      </x:c>
      <x:c r="C2" s="26" t="n">
        <x:v>8591</x:v>
      </x:c>
      <x:c r="D2" s="27" t="n">
        <x:v>2989.318</x:v>
      </x:c>
      <x:c r="E2" s="26" t="n">
        <x:v>2</x:v>
      </x:c>
      <x:c r="F2" s="28" t="n">
        <x:v>2.328</x:v>
      </x:c>
      <x:c r="G2" s="26" t="n">
        <x:v>10</x:v>
      </x:c>
      <x:c r="H2" s="28" t="n">
        <x:v>37.92</x:v>
      </x:c>
      <x:c r="I2" s="28" t="n">
        <x:v>33.75</x:v>
      </x:c>
      <x:c r="J2" s="28" t="n">
        <x:v>26.09</x:v>
      </x:c>
      <x:c r="K2" s="29"/>
      <x:c r="L2" s="26"/>
      <x:c r="M2" s="25" t="str">
        <x:v>not_collected</x:v>
      </x:c>
      <x:c r="N2" s="28"/>
      <x:c r="O2" s="28"/>
      <x:c r="P2" s="26"/>
      <x:c r="Q2" s="26" t="n">
        <x:v>0</x:v>
      </x:c>
      <x:c r="R2" s="26"/>
      <x:c r="S2" s="25"/>
      <x:c r="T2" s="25" t="str">
        <x:v>#D5DEE5</x:v>
      </x:c>
      <x:c r="U2" s="30" t="n">
        <x:v>2021</x:v>
      </x:c>
      <x:c r="V2" s="31" t="str">
        <x:v>2026-07-25</x:v>
      </x:c>
    </x:row>
    <x:row r="3">
      <x:c r="A3" s="32" t="str">
        <x:v>Alcântara</x:v>
      </x:c>
      <x:c r="B3" s="33" t="n">
        <x:v>13850</x:v>
      </x:c>
      <x:c r="C3" s="33" t="n">
        <x:v>8735</x:v>
      </x:c>
      <x:c r="D3" s="34" t="n">
        <x:v>1722.982</x:v>
      </x:c>
      <x:c r="E3" s="33" t="n">
        <x:v>2</x:v>
      </x:c>
      <x:c r="F3" s="35" t="n">
        <x:v>2.29</x:v>
      </x:c>
      <x:c r="G3" s="33" t="n">
        <x:v>31</x:v>
      </x:c>
      <x:c r="H3" s="35" t="n">
        <x:v>32.08</x:v>
      </x:c>
      <x:c r="I3" s="35" t="n">
        <x:v>12.08</x:v>
      </x:c>
      <x:c r="J3" s="35" t="n">
        <x:v>30.43</x:v>
      </x:c>
      <x:c r="K3" s="36"/>
      <x:c r="L3" s="33"/>
      <x:c r="M3" s="32" t="str">
        <x:v>not_collected</x:v>
      </x:c>
      <x:c r="N3" s="35"/>
      <x:c r="O3" s="35"/>
      <x:c r="P3" s="33"/>
      <x:c r="Q3" s="33" t="n">
        <x:v>0</x:v>
      </x:c>
      <x:c r="R3" s="33"/>
      <x:c r="S3" s="32"/>
      <x:c r="T3" s="32" t="str">
        <x:v>#D5DEE5</x:v>
      </x:c>
      <x:c r="U3" s="37" t="n">
        <x:v>2021</x:v>
      </x:c>
      <x:c r="V3" s="38" t="str">
        <x:v>2026-07-25</x:v>
      </x:c>
    </x:row>
    <x:row r="4">
      <x:c r="A4" s="32" t="str">
        <x:v>Alvalade</x:v>
      </x:c>
      <x:c r="B4" s="33" t="n">
        <x:v>33309</x:v>
      </x:c>
      <x:c r="C4" s="33" t="n">
        <x:v>20433</x:v>
      </x:c>
      <x:c r="D4" s="34" t="n">
        <x:v>3828.842</x:v>
      </x:c>
      <x:c r="E4" s="33" t="n">
        <x:v>7</x:v>
      </x:c>
      <x:c r="F4" s="35" t="n">
        <x:v>3.426</x:v>
      </x:c>
      <x:c r="G4" s="33" t="n">
        <x:v>63</x:v>
      </x:c>
      <x:c r="H4" s="35" t="n">
        <x:v>60</x:v>
      </x:c>
      <x:c r="I4" s="35" t="n">
        <x:v>65.83</x:v>
      </x:c>
      <x:c r="J4" s="35" t="n">
        <x:v>17.39</x:v>
      </x:c>
      <x:c r="K4" s="36"/>
      <x:c r="L4" s="33"/>
      <x:c r="M4" s="32" t="str">
        <x:v>not_collected</x:v>
      </x:c>
      <x:c r="N4" s="35"/>
      <x:c r="O4" s="35"/>
      <x:c r="P4" s="33"/>
      <x:c r="Q4" s="33" t="n">
        <x:v>0</x:v>
      </x:c>
      <x:c r="R4" s="33"/>
      <x:c r="S4" s="32"/>
      <x:c r="T4" s="32" t="str">
        <x:v>#D5DEE5</x:v>
      </x:c>
      <x:c r="U4" s="37" t="n">
        <x:v>2021</x:v>
      </x:c>
      <x:c r="V4" s="38" t="str">
        <x:v>2026-07-25</x:v>
      </x:c>
    </x:row>
    <x:row r="5">
      <x:c r="A5" s="32" t="str">
        <x:v>Areeiro</x:v>
      </x:c>
      <x:c r="B5" s="33" t="n">
        <x:v>21160</x:v>
      </x:c>
      <x:c r="C5" s="33" t="n">
        <x:v>13319</x:v>
      </x:c>
      <x:c r="D5" s="34" t="n">
        <x:v>7755.779</x:v>
      </x:c>
      <x:c r="E5" s="33" t="n">
        <x:v>2</x:v>
      </x:c>
      <x:c r="F5" s="35" t="n">
        <x:v>1.502</x:v>
      </x:c>
      <x:c r="G5" s="33" t="n">
        <x:v>45</x:v>
      </x:c>
      <x:c r="H5" s="35" t="n">
        <x:v>85.42</x:v>
      </x:c>
      <x:c r="I5" s="35" t="n">
        <x:v>73.33</x:v>
      </x:c>
      <x:c r="J5" s="35" t="n">
        <x:v>52.17</x:v>
      </x:c>
      <x:c r="K5" s="36" t="n">
        <x:v>17.73</x:v>
      </x:c>
      <x:c r="L5" s="33" t="n">
        <x:v>10</x:v>
      </x:c>
      <x:c r="M5" s="32" t="str">
        <x:v>target_met</x:v>
      </x:c>
      <x:c r="N5" s="35" t="n">
        <x:v>44.44</x:v>
      </x:c>
      <x:c r="O5" s="35" t="n">
        <x:v>67.94</x:v>
      </x:c>
      <x:c r="P5" s="33" t="n">
        <x:v>3</x:v>
      </x:c>
      <x:c r="Q5" s="33" t="n">
        <x:v>1</x:v>
      </x:c>
      <x:c r="R5" s="33" t="n">
        <x:v>1</x:v>
      </x:c>
      <x:c r="S5" s="32" t="str">
        <x:v>Balanced option</x:v>
      </x:c>
      <x:c r="T5" s="32" t="str">
        <x:v>#168C8C</x:v>
      </x:c>
      <x:c r="U5" s="37" t="n">
        <x:v>2021</x:v>
      </x:c>
      <x:c r="V5" s="38" t="str">
        <x:v>2026-07-25</x:v>
      </x:c>
    </x:row>
    <x:row r="6">
      <x:c r="A6" s="32" t="str">
        <x:v>Arroios</x:v>
      </x:c>
      <x:c r="B6" s="33" t="n">
        <x:v>33302</x:v>
      </x:c>
      <x:c r="C6" s="33" t="n">
        <x:v>23171</x:v>
      </x:c>
      <x:c r="D6" s="34" t="n">
        <x:v>10899.384</x:v>
      </x:c>
      <x:c r="E6" s="33" t="n">
        <x:v>8</x:v>
      </x:c>
      <x:c r="F6" s="35" t="n">
        <x:v>3.453</x:v>
      </x:c>
      <x:c r="G6" s="33" t="n">
        <x:v>55</x:v>
      </x:c>
      <x:c r="H6" s="35" t="n">
        <x:v>94.17</x:v>
      </x:c>
      <x:c r="I6" s="35" t="n">
        <x:v>95</x:v>
      </x:c>
      <x:c r="J6" s="35" t="n">
        <x:v>13.04</x:v>
      </x:c>
      <x:c r="K6" s="36" t="n">
        <x:v>17.5</x:v>
      </x:c>
      <x:c r="L6" s="33" t="n">
        <x:v>15</x:v>
      </x:c>
      <x:c r="M6" s="32" t="str">
        <x:v>target_met</x:v>
      </x:c>
      <x:c r="N6" s="35" t="n">
        <x:v>61.11</x:v>
      </x:c>
      <x:c r="O6" s="35" t="n">
        <x:v>69.14</x:v>
      </x:c>
      <x:c r="P6" s="33" t="n">
        <x:v>2</x:v>
      </x:c>
      <x:c r="Q6" s="33" t="n">
        <x:v>1</x:v>
      </x:c>
      <x:c r="R6" s="33" t="n">
        <x:v>3</x:v>
      </x:c>
      <x:c r="S6" s="32" t="str">
        <x:v>Strong-demand option</x:v>
      </x:c>
      <x:c r="T6" s="32" t="str">
        <x:v>#168C8C</x:v>
      </x:c>
      <x:c r="U6" s="37" t="n">
        <x:v>2021</x:v>
      </x:c>
      <x:c r="V6" s="38" t="str">
        <x:v>2026-07-25</x:v>
      </x:c>
    </x:row>
    <x:row r="7">
      <x:c r="A7" s="32" t="str">
        <x:v>Avenidas Novas</x:v>
      </x:c>
      <x:c r="B7" s="33" t="n">
        <x:v>23261</x:v>
      </x:c>
      <x:c r="C7" s="33" t="n">
        <x:v>14756</x:v>
      </x:c>
      <x:c r="D7" s="34" t="n">
        <x:v>4932.478</x:v>
      </x:c>
      <x:c r="E7" s="33" t="n">
        <x:v>4</x:v>
      </x:c>
      <x:c r="F7" s="35" t="n">
        <x:v>2.711</x:v>
      </x:c>
      <x:c r="G7" s="33" t="n">
        <x:v>114</x:v>
      </x:c>
      <x:c r="H7" s="35" t="n">
        <x:v>84.58</x:v>
      </x:c>
      <x:c r="I7" s="35" t="n">
        <x:v>90.83</x:v>
      </x:c>
      <x:c r="J7" s="35" t="n">
        <x:v>21.74</x:v>
      </x:c>
      <x:c r="K7" s="36" t="n">
        <x:v>20.38</x:v>
      </x:c>
      <x:c r="L7" s="33" t="n">
        <x:v>22</x:v>
      </x:c>
      <x:c r="M7" s="32" t="str">
        <x:v>target_met</x:v>
      </x:c>
      <x:c r="N7" s="35" t="n">
        <x:v>22.22</x:v>
      </x:c>
      <x:c r="O7" s="35" t="n">
        <x:v>61.08</x:v>
      </x:c>
      <x:c r="P7" s="33" t="n">
        <x:v>5</x:v>
      </x:c>
      <x:c r="Q7" s="33" t="n">
        <x:v>0</x:v>
      </x:c>
      <x:c r="R7" s="33"/>
      <x:c r="S7" s="32"/>
      <x:c r="T7" s="32" t="str">
        <x:v>#D5DEE5</x:v>
      </x:c>
      <x:c r="U7" s="37" t="n">
        <x:v>2021</x:v>
      </x:c>
      <x:c r="V7" s="38" t="str">
        <x:v>2026-07-25</x:v>
      </x:c>
    </x:row>
    <x:row r="8">
      <x:c r="A8" s="32" t="str">
        <x:v>Beato</x:v>
      </x:c>
      <x:c r="B8" s="33" t="n">
        <x:v>12183</x:v>
      </x:c>
      <x:c r="C8" s="33" t="n">
        <x:v>7690</x:v>
      </x:c>
      <x:c r="D8" s="34" t="n">
        <x:v>3099.182</x:v>
      </x:c>
      <x:c r="E8" s="33" t="n">
        <x:v>1</x:v>
      </x:c>
      <x:c r="F8" s="35" t="n">
        <x:v>1.3</x:v>
      </x:c>
      <x:c r="G8" s="33" t="n">
        <x:v>13</x:v>
      </x:c>
      <x:c r="H8" s="35" t="n">
        <x:v>33.33</x:v>
      </x:c>
      <x:c r="I8" s="35" t="n">
        <x:v>40</x:v>
      </x:c>
      <x:c r="J8" s="35" t="n">
        <x:v>60.87</x:v>
      </x:c>
      <x:c r="K8" s="36"/>
      <x:c r="L8" s="33"/>
      <x:c r="M8" s="32" t="str">
        <x:v>not_collected</x:v>
      </x:c>
      <x:c r="N8" s="35"/>
      <x:c r="O8" s="35"/>
      <x:c r="P8" s="33"/>
      <x:c r="Q8" s="33" t="n">
        <x:v>0</x:v>
      </x:c>
      <x:c r="R8" s="33"/>
      <x:c r="S8" s="32"/>
      <x:c r="T8" s="32" t="str">
        <x:v>#D5DEE5</x:v>
      </x:c>
      <x:c r="U8" s="37" t="n">
        <x:v>2021</x:v>
      </x:c>
      <x:c r="V8" s="38" t="str">
        <x:v>2026-07-25</x:v>
      </x:c>
    </x:row>
    <x:row r="9">
      <x:c r="A9" s="32" t="str">
        <x:v>Belém</x:v>
      </x:c>
      <x:c r="B9" s="33" t="n">
        <x:v>16546</x:v>
      </x:c>
      <x:c r="C9" s="33" t="n">
        <x:v>9687</x:v>
      </x:c>
      <x:c r="D9" s="34" t="n">
        <x:v>930.029</x:v>
      </x:c>
      <x:c r="E9" s="33" t="n">
        <x:v>1</x:v>
      </x:c>
      <x:c r="F9" s="35" t="n">
        <x:v>1.032</x:v>
      </x:c>
      <x:c r="G9" s="33" t="n">
        <x:v>75</x:v>
      </x:c>
      <x:c r="H9" s="35" t="n">
        <x:v>24.17</x:v>
      </x:c>
      <x:c r="I9" s="35" t="n">
        <x:v>10.42</x:v>
      </x:c>
      <x:c r="J9" s="35" t="n">
        <x:v>73.91</x:v>
      </x:c>
      <x:c r="K9" s="36"/>
      <x:c r="L9" s="33"/>
      <x:c r="M9" s="32" t="str">
        <x:v>not_collected</x:v>
      </x:c>
      <x:c r="N9" s="35"/>
      <x:c r="O9" s="35"/>
      <x:c r="P9" s="33"/>
      <x:c r="Q9" s="33" t="n">
        <x:v>0</x:v>
      </x:c>
      <x:c r="R9" s="33"/>
      <x:c r="S9" s="32"/>
      <x:c r="T9" s="32" t="str">
        <x:v>#D5DEE5</x:v>
      </x:c>
      <x:c r="U9" s="37" t="n">
        <x:v>2021</x:v>
      </x:c>
      <x:c r="V9" s="38" t="str">
        <x:v>2026-07-25</x:v>
      </x:c>
    </x:row>
    <x:row r="10">
      <x:c r="A10" s="32" t="str">
        <x:v>Benfica</x:v>
      </x:c>
      <x:c r="B10" s="33" t="n">
        <x:v>35362</x:v>
      </x:c>
      <x:c r="C10" s="33" t="n">
        <x:v>20786</x:v>
      </x:c>
      <x:c r="D10" s="34" t="n">
        <x:v>2592.805</x:v>
      </x:c>
      <x:c r="E10" s="33" t="n">
        <x:v>1</x:v>
      </x:c>
      <x:c r="F10" s="35" t="n">
        <x:v>0.481</x:v>
      </x:c>
      <x:c r="G10" s="33" t="n">
        <x:v>40</x:v>
      </x:c>
      <x:c r="H10" s="35" t="n">
        <x:v>21.66</x:v>
      </x:c>
      <x:c r="I10" s="35" t="n">
        <x:v>24.17</x:v>
      </x:c>
      <x:c r="J10" s="35" t="n">
        <x:v>91.3</x:v>
      </x:c>
      <x:c r="K10" s="36"/>
      <x:c r="L10" s="33"/>
      <x:c r="M10" s="32" t="str">
        <x:v>not_collected</x:v>
      </x:c>
      <x:c r="N10" s="35"/>
      <x:c r="O10" s="35"/>
      <x:c r="P10" s="33"/>
      <x:c r="Q10" s="33" t="n">
        <x:v>0</x:v>
      </x:c>
      <x:c r="R10" s="33"/>
      <x:c r="S10" s="32"/>
      <x:c r="T10" s="32" t="str">
        <x:v>#D5DEE5</x:v>
      </x:c>
      <x:c r="U10" s="37" t="n">
        <x:v>2021</x:v>
      </x:c>
      <x:c r="V10" s="38" t="str">
        <x:v>2026-07-25</x:v>
      </x:c>
    </x:row>
    <x:row r="11">
      <x:c r="A11" s="32" t="str">
        <x:v>Campo de Ourique</x:v>
      </x:c>
      <x:c r="B11" s="33" t="n">
        <x:v>22140</x:v>
      </x:c>
      <x:c r="C11" s="33" t="n">
        <x:v>13554</x:v>
      </x:c>
      <x:c r="D11" s="34" t="n">
        <x:v>8215.541</x:v>
      </x:c>
      <x:c r="E11" s="33" t="n">
        <x:v>3</x:v>
      </x:c>
      <x:c r="F11" s="35" t="n">
        <x:v>2.213</x:v>
      </x:c>
      <x:c r="G11" s="33" t="n">
        <x:v>41</x:v>
      </x:c>
      <x:c r="H11" s="35" t="n">
        <x:v>83.33</x:v>
      </x:c>
      <x:c r="I11" s="35" t="n">
        <x:v>47.08</x:v>
      </x:c>
      <x:c r="J11" s="35" t="n">
        <x:v>34.78</x:v>
      </x:c>
      <x:c r="K11" s="36"/>
      <x:c r="L11" s="33"/>
      <x:c r="M11" s="32" t="str">
        <x:v>not_collected</x:v>
      </x:c>
      <x:c r="N11" s="35"/>
      <x:c r="O11" s="35"/>
      <x:c r="P11" s="33"/>
      <x:c r="Q11" s="33" t="n">
        <x:v>0</x:v>
      </x:c>
      <x:c r="R11" s="33"/>
      <x:c r="S11" s="32"/>
      <x:c r="T11" s="32" t="str">
        <x:v>#D5DEE5</x:v>
      </x:c>
      <x:c r="U11" s="37" t="n">
        <x:v>2021</x:v>
      </x:c>
      <x:c r="V11" s="38" t="str">
        <x:v>2026-07-25</x:v>
      </x:c>
    </x:row>
    <x:row r="12">
      <x:c r="A12" s="32" t="str">
        <x:v>Campolide</x:v>
      </x:c>
      <x:c r="B12" s="33" t="n">
        <x:v>14787</x:v>
      </x:c>
      <x:c r="C12" s="33" t="n">
        <x:v>9490</x:v>
      </x:c>
      <x:c r="D12" s="34" t="n">
        <x:v>3424.015</x:v>
      </x:c>
      <x:c r="E12" s="33" t="n">
        <x:v>2</x:v>
      </x:c>
      <x:c r="F12" s="35" t="n">
        <x:v>2.107</x:v>
      </x:c>
      <x:c r="G12" s="33" t="n">
        <x:v>51</x:v>
      </x:c>
      <x:c r="H12" s="35" t="n">
        <x:v>63.34</x:v>
      </x:c>
      <x:c r="I12" s="35" t="n">
        <x:v>55</x:v>
      </x:c>
      <x:c r="J12" s="35" t="n">
        <x:v>39.13</x:v>
      </x:c>
      <x:c r="K12" s="36" t="n">
        <x:v>20.01</x:v>
      </x:c>
      <x:c r="L12" s="33" t="n">
        <x:v>10</x:v>
      </x:c>
      <x:c r="M12" s="32" t="str">
        <x:v>target_met</x:v>
      </x:c>
      <x:c r="N12" s="35" t="n">
        <x:v>33.33</x:v>
      </x:c>
      <x:c r="O12" s="35" t="n">
        <x:v>50.7</x:v>
      </x:c>
      <x:c r="P12" s="33" t="n">
        <x:v>9</x:v>
      </x:c>
      <x:c r="Q12" s="33" t="n">
        <x:v>0</x:v>
      </x:c>
      <x:c r="R12" s="33"/>
      <x:c r="S12" s="32"/>
      <x:c r="T12" s="32" t="str">
        <x:v>#D5DEE5</x:v>
      </x:c>
      <x:c r="U12" s="37" t="n">
        <x:v>2021</x:v>
      </x:c>
      <x:c r="V12" s="38" t="str">
        <x:v>2026-07-25</x:v>
      </x:c>
    </x:row>
    <x:row r="13">
      <x:c r="A13" s="32" t="str">
        <x:v>Carnide</x:v>
      </x:c>
      <x:c r="B13" s="33" t="n">
        <x:v>18028</x:v>
      </x:c>
      <x:c r="C13" s="33" t="n">
        <x:v>11297</x:v>
      </x:c>
      <x:c r="D13" s="34" t="n">
        <x:v>3065.339</x:v>
      </x:c>
      <x:c r="E13" s="33" t="n">
        <x:v>1</x:v>
      </x:c>
      <x:c r="F13" s="35" t="n">
        <x:v>0.885</x:v>
      </x:c>
      <x:c r="G13" s="33" t="n">
        <x:v>30</x:v>
      </x:c>
      <x:c r="H13" s="35" t="n">
        <x:v>38.75</x:v>
      </x:c>
      <x:c r="I13" s="35" t="n">
        <x:v>53.33</x:v>
      </x:c>
      <x:c r="J13" s="35" t="n">
        <x:v>82.61</x:v>
      </x:c>
      <x:c r="K13" s="36" t="n">
        <x:v>17.5</x:v>
      </x:c>
      <x:c r="L13" s="33" t="n">
        <x:v>11</x:v>
      </x:c>
      <x:c r="M13" s="32" t="str">
        <x:v>target_met</x:v>
      </x:c>
      <x:c r="N13" s="35" t="n">
        <x:v>61.11</x:v>
      </x:c>
      <x:c r="O13" s="35" t="n">
        <x:v>56.71</x:v>
      </x:c>
      <x:c r="P13" s="33" t="n">
        <x:v>7</x:v>
      </x:c>
      <x:c r="Q13" s="33" t="n">
        <x:v>0</x:v>
      </x:c>
      <x:c r="R13" s="33"/>
      <x:c r="S13" s="32"/>
      <x:c r="T13" s="32" t="str">
        <x:v>#D5DEE5</x:v>
      </x:c>
      <x:c r="U13" s="37" t="n">
        <x:v>2021</x:v>
      </x:c>
      <x:c r="V13" s="38" t="str">
        <x:v>2026-07-25</x:v>
      </x:c>
    </x:row>
    <x:row r="14">
      <x:c r="A14" s="32" t="str">
        <x:v>Estrela</x:v>
      </x:c>
      <x:c r="B14" s="33" t="n">
        <x:v>20267</x:v>
      </x:c>
      <x:c r="C14" s="33" t="n">
        <x:v>13063</x:v>
      </x:c>
      <x:c r="D14" s="34" t="n">
        <x:v>2840.338</x:v>
      </x:c>
      <x:c r="E14" s="33" t="n">
        <x:v>2</x:v>
      </x:c>
      <x:c r="F14" s="35" t="n">
        <x:v>1.531</x:v>
      </x:c>
      <x:c r="G14" s="33" t="n">
        <x:v>84</x:v>
      </x:c>
      <x:c r="H14" s="35" t="n">
        <x:v>49.17</x:v>
      </x:c>
      <x:c r="I14" s="35" t="n">
        <x:v>35.42</x:v>
      </x:c>
      <x:c r="J14" s="35" t="n">
        <x:v>47.83</x:v>
      </x:c>
      <x:c r="K14" s="36"/>
      <x:c r="L14" s="33"/>
      <x:c r="M14" s="32" t="str">
        <x:v>not_collected</x:v>
      </x:c>
      <x:c r="N14" s="35"/>
      <x:c r="O14" s="35"/>
      <x:c r="P14" s="33"/>
      <x:c r="Q14" s="33" t="n">
        <x:v>0</x:v>
      </x:c>
      <x:c r="R14" s="33"/>
      <x:c r="S14" s="32"/>
      <x:c r="T14" s="32" t="str">
        <x:v>#D5DEE5</x:v>
      </x:c>
      <x:c r="U14" s="37" t="n">
        <x:v>2021</x:v>
      </x:c>
      <x:c r="V14" s="38" t="str">
        <x:v>2026-07-25</x:v>
      </x:c>
    </x:row>
    <x:row r="15">
      <x:c r="A15" s="32" t="str">
        <x:v>Lumiar</x:v>
      </x:c>
      <x:c r="B15" s="33" t="n">
        <x:v>46334</x:v>
      </x:c>
      <x:c r="C15" s="33" t="n">
        <x:v>29855</x:v>
      </x:c>
      <x:c r="D15" s="34" t="n">
        <x:v>4545.455</x:v>
      </x:c>
      <x:c r="E15" s="33" t="n">
        <x:v>1</x:v>
      </x:c>
      <x:c r="F15" s="35" t="n">
        <x:v>0.335</x:v>
      </x:c>
      <x:c r="G15" s="33" t="n">
        <x:v>35</x:v>
      </x:c>
      <x:c r="H15" s="35" t="n">
        <x:v>43.33</x:v>
      </x:c>
      <x:c r="I15" s="35" t="n">
        <x:v>67.5</x:v>
      </x:c>
      <x:c r="J15" s="35" t="n">
        <x:v>95.65</x:v>
      </x:c>
      <x:c r="K15" s="36" t="n">
        <x:v>15.71</x:v>
      </x:c>
      <x:c r="L15" s="33" t="n">
        <x:v>17</x:v>
      </x:c>
      <x:c r="M15" s="32" t="str">
        <x:v>target_met</x:v>
      </x:c>
      <x:c r="N15" s="35" t="n">
        <x:v>88.89</x:v>
      </x:c>
      <x:c r="O15" s="35" t="n">
        <x:v>69.29</x:v>
      </x:c>
      <x:c r="P15" s="33" t="n">
        <x:v>1</x:v>
      </x:c>
      <x:c r="Q15" s="33" t="n">
        <x:v>1</x:v>
      </x:c>
      <x:c r="R15" s="33" t="n">
        <x:v>2</x:v>
      </x:c>
      <x:c r="S15" s="32" t="str">
        <x:v>Lower-rent option</x:v>
      </x:c>
      <x:c r="T15" s="32" t="str">
        <x:v>#168C8C</x:v>
      </x:c>
      <x:c r="U15" s="37" t="n">
        <x:v>2021</x:v>
      </x:c>
      <x:c r="V15" s="38" t="str">
        <x:v>2026-07-25</x:v>
      </x:c>
    </x:row>
    <x:row r="16">
      <x:c r="A16" s="32" t="str">
        <x:v>Marvila</x:v>
      </x:c>
      <x:c r="B16" s="33" t="n">
        <x:v>35479</x:v>
      </x:c>
      <x:c r="C16" s="33" t="n">
        <x:v>22240</x:v>
      </x:c>
      <x:c r="D16" s="34" t="n">
        <x:v>3125.527</x:v>
      </x:c>
      <x:c r="E16" s="33" t="n">
        <x:v>2</x:v>
      </x:c>
      <x:c r="F16" s="35" t="n">
        <x:v>0.899</x:v>
      </x:c>
      <x:c r="G16" s="33" t="n">
        <x:v>19</x:v>
      </x:c>
      <x:c r="H16" s="35" t="n">
        <x:v>30.83</x:v>
      </x:c>
      <x:c r="I16" s="35" t="n">
        <x:v>31.67</x:v>
      </x:c>
      <x:c r="J16" s="35" t="n">
        <x:v>78.26</x:v>
      </x:c>
      <x:c r="K16" s="36"/>
      <x:c r="L16" s="33"/>
      <x:c r="M16" s="32" t="str">
        <x:v>not_collected</x:v>
      </x:c>
      <x:c r="N16" s="35"/>
      <x:c r="O16" s="35"/>
      <x:c r="P16" s="33"/>
      <x:c r="Q16" s="33" t="n">
        <x:v>0</x:v>
      </x:c>
      <x:c r="R16" s="33"/>
      <x:c r="S16" s="32"/>
      <x:c r="T16" s="32" t="str">
        <x:v>#D5DEE5</x:v>
      </x:c>
      <x:c r="U16" s="37" t="n">
        <x:v>2021</x:v>
      </x:c>
      <x:c r="V16" s="38" t="str">
        <x:v>2026-07-25</x:v>
      </x:c>
    </x:row>
    <x:row r="17">
      <x:c r="A17" s="32" t="str">
        <x:v>Misericórdia</x:v>
      </x:c>
      <x:c r="B17" s="33" t="n">
        <x:v>9658</x:v>
      </x:c>
      <x:c r="C17" s="33" t="n">
        <x:v>6472</x:v>
      </x:c>
      <x:c r="D17" s="34" t="n">
        <x:v>2955.386</x:v>
      </x:c>
      <x:c r="E17" s="33" t="n">
        <x:v>3</x:v>
      </x:c>
      <x:c r="F17" s="35" t="n">
        <x:v>4.635</x:v>
      </x:c>
      <x:c r="G17" s="33" t="n">
        <x:v>33</x:v>
      </x:c>
      <x:c r="H17" s="35" t="n">
        <x:v>56.67</x:v>
      </x:c>
      <x:c r="I17" s="35" t="n">
        <x:v>54.17</x:v>
      </x:c>
      <x:c r="J17" s="35" t="n">
        <x:v>8.7</x:v>
      </x:c>
      <x:c r="K17" s="36" t="n">
        <x:v>22</x:v>
      </x:c>
      <x:c r="L17" s="33" t="n">
        <x:v>17</x:v>
      </x:c>
      <x:c r="M17" s="32" t="str">
        <x:v>target_met</x:v>
      </x:c>
      <x:c r="N17" s="35" t="n">
        <x:v>11.11</x:v>
      </x:c>
      <x:c r="O17" s="35" t="n">
        <x:v>37.22</x:v>
      </x:c>
      <x:c r="P17" s="33" t="n">
        <x:v>10</x:v>
      </x:c>
      <x:c r="Q17" s="33" t="n">
        <x:v>0</x:v>
      </x:c>
      <x:c r="R17" s="33"/>
      <x:c r="S17" s="32"/>
      <x:c r="T17" s="32" t="str">
        <x:v>#D5DEE5</x:v>
      </x:c>
      <x:c r="U17" s="37" t="n">
        <x:v>2021</x:v>
      </x:c>
      <x:c r="V17" s="38" t="str">
        <x:v>2026-07-25</x:v>
      </x:c>
    </x:row>
    <x:row r="18">
      <x:c r="A18" s="32" t="str">
        <x:v>Olivais</x:v>
      </x:c>
      <x:c r="B18" s="33" t="n">
        <x:v>32179</x:v>
      </x:c>
      <x:c r="C18" s="33" t="n">
        <x:v>19760</x:v>
      </x:c>
      <x:c r="D18" s="34" t="n">
        <x:v>2445.514</x:v>
      </x:c>
      <x:c r="E18" s="33" t="n">
        <x:v>0</x:v>
      </x:c>
      <x:c r="F18" s="35" t="n">
        <x:v>0</x:v>
      </x:c>
      <x:c r="G18" s="33" t="n">
        <x:v>18</x:v>
      </x:c>
      <x:c r="H18" s="35" t="n">
        <x:v>14.58</x:v>
      </x:c>
      <x:c r="I18" s="35" t="n">
        <x:v>40</x:v>
      </x:c>
      <x:c r="J18" s="35" t="n">
        <x:v>100</x:v>
      </x:c>
      <x:c r="K18" s="36"/>
      <x:c r="L18" s="33"/>
      <x:c r="M18" s="32" t="str">
        <x:v>not_collected</x:v>
      </x:c>
      <x:c r="N18" s="35"/>
      <x:c r="O18" s="35"/>
      <x:c r="P18" s="33"/>
      <x:c r="Q18" s="33" t="n">
        <x:v>0</x:v>
      </x:c>
      <x:c r="R18" s="33"/>
      <x:c r="S18" s="32"/>
      <x:c r="T18" s="32" t="str">
        <x:v>#D5DEE5</x:v>
      </x:c>
      <x:c r="U18" s="37" t="n">
        <x:v>2021</x:v>
      </x:c>
      <x:c r="V18" s="38" t="str">
        <x:v>2026-07-25</x:v>
      </x:c>
    </x:row>
    <x:row r="19">
      <x:c r="A19" s="32" t="str">
        <x:v>Parque das Nações</x:v>
      </x:c>
      <x:c r="B19" s="33" t="n">
        <x:v>22382</x:v>
      </x:c>
      <x:c r="C19" s="33" t="n">
        <x:v>15022</x:v>
      </x:c>
      <x:c r="D19" s="34" t="n">
        <x:v>2767.196</x:v>
      </x:c>
      <x:c r="E19" s="33" t="n">
        <x:v>3</x:v>
      </x:c>
      <x:c r="F19" s="35" t="n">
        <x:v>1.997</x:v>
      </x:c>
      <x:c r="G19" s="33" t="n">
        <x:v>130</x:v>
      </x:c>
      <x:c r="H19" s="35" t="n">
        <x:v>46.67</x:v>
      </x:c>
      <x:c r="I19" s="35" t="n">
        <x:v>35.83</x:v>
      </x:c>
      <x:c r="J19" s="35" t="n">
        <x:v>43.48</x:v>
      </x:c>
      <x:c r="K19" s="36"/>
      <x:c r="L19" s="33"/>
      <x:c r="M19" s="32" t="str">
        <x:v>not_collected</x:v>
      </x:c>
      <x:c r="N19" s="35"/>
      <x:c r="O19" s="35"/>
      <x:c r="P19" s="33"/>
      <x:c r="Q19" s="33" t="n">
        <x:v>0</x:v>
      </x:c>
      <x:c r="R19" s="33"/>
      <x:c r="S19" s="32"/>
      <x:c r="T19" s="32" t="str">
        <x:v>#D5DEE5</x:v>
      </x:c>
      <x:c r="U19" s="37" t="n">
        <x:v>2021</x:v>
      </x:c>
      <x:c r="V19" s="38" t="str">
        <x:v>2026-07-25</x:v>
      </x:c>
    </x:row>
    <x:row r="20">
      <x:c r="A20" s="32" t="str">
        <x:v>Penha de França</x:v>
      </x:c>
      <x:c r="B20" s="33" t="n">
        <x:v>28475</x:v>
      </x:c>
      <x:c r="C20" s="33" t="n">
        <x:v>18815</x:v>
      </x:c>
      <x:c r="D20" s="34" t="n">
        <x:v>6947.675</x:v>
      </x:c>
      <x:c r="E20" s="33" t="n">
        <x:v>2</x:v>
      </x:c>
      <x:c r="F20" s="35" t="n">
        <x:v>1.063</x:v>
      </x:c>
      <x:c r="G20" s="33" t="n">
        <x:v>17</x:v>
      </x:c>
      <x:c r="H20" s="35" t="n">
        <x:v>60.42</x:v>
      </x:c>
      <x:c r="I20" s="35" t="n">
        <x:v>27.08</x:v>
      </x:c>
      <x:c r="J20" s="35" t="n">
        <x:v>69.57</x:v>
      </x:c>
      <x:c r="K20" s="36" t="n">
        <x:v>13.91</x:v>
      </x:c>
      <x:c r="L20" s="33" t="n">
        <x:v>15</x:v>
      </x:c>
      <x:c r="M20" s="32" t="str">
        <x:v>target_met</x:v>
      </x:c>
      <x:c r="N20" s="35" t="n">
        <x:v>100</x:v>
      </x:c>
      <x:c r="O20" s="35" t="n">
        <x:v>60.31</x:v>
      </x:c>
      <x:c r="P20" s="33" t="n">
        <x:v>6</x:v>
      </x:c>
      <x:c r="Q20" s="33" t="n">
        <x:v>0</x:v>
      </x:c>
      <x:c r="R20" s="33"/>
      <x:c r="S20" s="32"/>
      <x:c r="T20" s="32" t="str">
        <x:v>#D5DEE5</x:v>
      </x:c>
      <x:c r="U20" s="37" t="n">
        <x:v>2021</x:v>
      </x:c>
      <x:c r="V20" s="38" t="str">
        <x:v>2026-07-25</x:v>
      </x:c>
    </x:row>
    <x:row r="21">
      <x:c r="A21" s="32" t="str">
        <x:v>Santa Clara</x:v>
      </x:c>
      <x:c r="B21" s="33" t="n">
        <x:v>23645</x:v>
      </x:c>
      <x:c r="C21" s="33" t="n">
        <x:v>15312</x:v>
      </x:c>
      <x:c r="D21" s="34" t="n">
        <x:v>4567.747</x:v>
      </x:c>
      <x:c r="E21" s="33" t="n">
        <x:v>1</x:v>
      </x:c>
      <x:c r="F21" s="35" t="n">
        <x:v>0.653</x:v>
      </x:c>
      <x:c r="G21" s="33" t="n">
        <x:v>5</x:v>
      </x:c>
      <x:c r="H21" s="35" t="n">
        <x:v>30.84</x:v>
      </x:c>
      <x:c r="I21" s="35" t="n">
        <x:v>39.17</x:v>
      </x:c>
      <x:c r="J21" s="35" t="n">
        <x:v>86.96</x:v>
      </x:c>
      <x:c r="K21" s="36"/>
      <x:c r="L21" s="33"/>
      <x:c r="M21" s="32" t="str">
        <x:v>not_collected</x:v>
      </x:c>
      <x:c r="N21" s="35"/>
      <x:c r="O21" s="35"/>
      <x:c r="P21" s="33"/>
      <x:c r="Q21" s="33" t="n">
        <x:v>0</x:v>
      </x:c>
      <x:c r="R21" s="33"/>
      <x:c r="S21" s="32"/>
      <x:c r="T21" s="32" t="str">
        <x:v>#D5DEE5</x:v>
      </x:c>
      <x:c r="U21" s="37" t="n">
        <x:v>2021</x:v>
      </x:c>
      <x:c r="V21" s="38" t="str">
        <x:v>2026-07-25</x:v>
      </x:c>
    </x:row>
    <x:row r="22">
      <x:c r="A22" s="32" t="str">
        <x:v>Santa Maria Maior</x:v>
      </x:c>
      <x:c r="B22" s="33" t="n">
        <x:v>10051</x:v>
      </x:c>
      <x:c r="C22" s="33" t="n">
        <x:v>7149</x:v>
      </x:c>
      <x:c r="D22" s="34" t="n">
        <x:v>2376.267</x:v>
      </x:c>
      <x:c r="E22" s="33" t="n">
        <x:v>6</x:v>
      </x:c>
      <x:c r="F22" s="35" t="n">
        <x:v>8.393</x:v>
      </x:c>
      <x:c r="G22" s="33" t="n">
        <x:v>40</x:v>
      </x:c>
      <x:c r="H22" s="35" t="n">
        <x:v>47.92</x:v>
      </x:c>
      <x:c r="I22" s="35" t="n">
        <x:v>84.17</x:v>
      </x:c>
      <x:c r="J22" s="35" t="n">
        <x:v>4.35</x:v>
      </x:c>
      <x:c r="K22" s="36"/>
      <x:c r="L22" s="33"/>
      <x:c r="M22" s="32" t="str">
        <x:v>not_collected</x:v>
      </x:c>
      <x:c r="N22" s="35"/>
      <x:c r="O22" s="35"/>
      <x:c r="P22" s="33"/>
      <x:c r="Q22" s="33" t="n">
        <x:v>0</x:v>
      </x:c>
      <x:c r="R22" s="33"/>
      <x:c r="S22" s="32"/>
      <x:c r="T22" s="32" t="str">
        <x:v>#D5DEE5</x:v>
      </x:c>
      <x:c r="U22" s="37" t="n">
        <x:v>2021</x:v>
      </x:c>
      <x:c r="V22" s="38" t="str">
        <x:v>2026-07-25</x:v>
      </x:c>
    </x:row>
    <x:row r="23">
      <x:c r="A23" s="32" t="str">
        <x:v>Santo António</x:v>
      </x:c>
      <x:c r="B23" s="33" t="n">
        <x:v>11060</x:v>
      </x:c>
      <x:c r="C23" s="33" t="n">
        <x:v>7375</x:v>
      </x:c>
      <x:c r="D23" s="34" t="n">
        <x:v>4940.05</x:v>
      </x:c>
      <x:c r="E23" s="33" t="n">
        <x:v>9</x:v>
      </x:c>
      <x:c r="F23" s="35" t="n">
        <x:v>12.203</x:v>
      </x:c>
      <x:c r="G23" s="33" t="n">
        <x:v>157</x:v>
      </x:c>
      <x:c r="H23" s="35" t="n">
        <x:v>89.58</x:v>
      </x:c>
      <x:c r="I23" s="35" t="n">
        <x:v>96.67</x:v>
      </x:c>
      <x:c r="J23" s="35" t="n">
        <x:v>0</x:v>
      </x:c>
      <x:c r="K23" s="36" t="n">
        <x:v>25.6</x:v>
      </x:c>
      <x:c r="L23" s="33" t="n">
        <x:v>13</x:v>
      </x:c>
      <x:c r="M23" s="32" t="str">
        <x:v>target_met</x:v>
      </x:c>
      <x:c r="N23" s="35" t="n">
        <x:v>0</x:v>
      </x:c>
      <x:c r="O23" s="35" t="n">
        <x:v>55.52</x:v>
      </x:c>
      <x:c r="P23" s="33" t="n">
        <x:v>8</x:v>
      </x:c>
      <x:c r="Q23" s="33" t="n">
        <x:v>0</x:v>
      </x:c>
      <x:c r="R23" s="33"/>
      <x:c r="S23" s="32"/>
      <x:c r="T23" s="32" t="str">
        <x:v>#D5DEE5</x:v>
      </x:c>
      <x:c r="U23" s="37" t="n">
        <x:v>2021</x:v>
      </x:c>
      <x:c r="V23" s="38" t="str">
        <x:v>2026-07-25</x:v>
      </x:c>
    </x:row>
    <x:row r="24">
      <x:c r="A24" s="32" t="str">
        <x:v>São Domingos de Benfica</x:v>
      </x:c>
      <x:c r="B24" s="33" t="n">
        <x:v>34076</x:v>
      </x:c>
      <x:c r="C24" s="33" t="n">
        <x:v>21023</x:v>
      </x:c>
      <x:c r="D24" s="34" t="n">
        <x:v>4900.124</x:v>
      </x:c>
      <x:c r="E24" s="33" t="n">
        <x:v>3</x:v>
      </x:c>
      <x:c r="F24" s="35" t="n">
        <x:v>1.427</x:v>
      </x:c>
      <x:c r="G24" s="33" t="n">
        <x:v>60</x:v>
      </x:c>
      <x:c r="H24" s="35" t="n">
        <x:v>67.08</x:v>
      </x:c>
      <x:c r="I24" s="35" t="n">
        <x:v>65</x:v>
      </x:c>
      <x:c r="J24" s="35" t="n">
        <x:v>56.52</x:v>
      </x:c>
      <x:c r="K24" s="36" t="n">
        <x:v>16.99</x:v>
      </x:c>
      <x:c r="L24" s="33" t="n">
        <x:v>14</x:v>
      </x:c>
      <x:c r="M24" s="32" t="str">
        <x:v>target_met</x:v>
      </x:c>
      <x:c r="N24" s="35" t="n">
        <x:v>77.78</x:v>
      </x:c>
      <x:c r="O24" s="35" t="n">
        <x:v>65.52</x:v>
      </x:c>
      <x:c r="P24" s="33" t="n">
        <x:v>4</x:v>
      </x:c>
      <x:c r="Q24" s="33" t="n">
        <x:v>0</x:v>
      </x:c>
      <x:c r="R24" s="33"/>
      <x:c r="S24" s="32"/>
      <x:c r="T24" s="32" t="str">
        <x:v>#D5DEE5</x:v>
      </x:c>
      <x:c r="U24" s="37" t="n">
        <x:v>2021</x:v>
      </x:c>
      <x:c r="V24" s="38" t="str">
        <x:v>2026-07-25</x:v>
      </x:c>
    </x:row>
    <x:row r="25">
      <x:c r="A25" s="39" t="str">
        <x:v>São Vicente</x:v>
      </x:c>
      <x:c r="B25" s="40" t="n">
        <x:v>13956</x:v>
      </x:c>
      <x:c r="C25" s="40" t="n">
        <x:v>9213</x:v>
      </x:c>
      <x:c r="D25" s="41" t="n">
        <x:v>4643.883</x:v>
      </x:c>
      <x:c r="E25" s="40" t="n">
        <x:v>1</x:v>
      </x:c>
      <x:c r="F25" s="42" t="n">
        <x:v>1.085</x:v>
      </x:c>
      <x:c r="G25" s="40" t="n">
        <x:v>11</x:v>
      </x:c>
      <x:c r="H25" s="42" t="n">
        <x:v>54.17</x:v>
      </x:c>
      <x:c r="I25" s="42" t="n">
        <x:v>72.5</x:v>
      </x:c>
      <x:c r="J25" s="42" t="n">
        <x:v>65.22</x:v>
      </x:c>
      <x:c r="K25" s="43"/>
      <x:c r="L25" s="40"/>
      <x:c r="M25" s="39" t="str">
        <x:v>not_collected</x:v>
      </x:c>
      <x:c r="N25" s="42"/>
      <x:c r="O25" s="42"/>
      <x:c r="P25" s="40"/>
      <x:c r="Q25" s="40" t="n">
        <x:v>0</x:v>
      </x:c>
      <x:c r="R25" s="40"/>
      <x:c r="S25" s="39"/>
      <x:c r="T25" s="39" t="str">
        <x:v>#D5DEE5</x:v>
      </x:c>
      <x:c r="U25" s="44" t="n">
        <x:v>2021</x:v>
      </x:c>
      <x:c r="V25" s="45" t="str">
        <x:v>2026-07-25</x:v>
      </x:c>
    </x:row>
  </x:sheetData>
  <x:conditionalFormatting sqref="A2:V25">
    <x:cfRule type="expression" dxfId="0" priority="1">
      <x:formula>$Q2=1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3750bc74e045a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2" hidden="0" customWidth="1"/>
    <x:col min="4" max="4" width="55" hidden="0" customWidth="1"/>
    <x:col min="5" max="5" width="55" hidden="0" customWidth="1"/>
    <x:col min="6" max="6" width="55" hidden="0" customWidth="1"/>
    <x:col min="7" max="7" width="45" hidden="0" customWidth="1"/>
  </x:cols>
  <x:sheetData>
    <x:row r="1" ht="34" customHeight="1">
      <x:c r="A1" s="16" t="str">
        <x:v>display_order</x:v>
      </x:c>
      <x:c r="B1" s="17" t="str">
        <x:v>parish</x:v>
      </x:c>
      <x:c r="C1" s="17" t="str">
        <x:v>business_option</x:v>
      </x:c>
      <x:c r="D1" s="17" t="str">
        <x:v>situation</x:v>
      </x:c>
      <x:c r="E1" s="17" t="str">
        <x:v>complication</x:v>
      </x:c>
      <x:c r="F1" s="17" t="str">
        <x:v>resolution</x:v>
      </x:c>
      <x:c r="G1" s="18" t="str">
        <x:v>evidence</x:v>
      </x:c>
    </x:row>
    <x:row r="2" ht="72" customHeight="1">
      <x:c r="A2" s="49" t="n">
        <x:v>1</x:v>
      </x:c>
      <x:c r="B2" s="49" t="str">
        <x:v>Areeiro</x:v>
      </x:c>
      <x:c r="C2" s="49" t="str">
        <x:v>Balanced option</x:v>
      </x:c>
      <x:c r="D2" s="50" t="str">
        <x:v>Strong demand (85.42), good transport (73.33), two verified coworking locations and pilot median rent of EUR 17.73/m2/month.</x:v>
      </x:c>
      <x:c r="E2" s="50" t="str">
        <x:v>It is neither the cheapest nor the lowest-competition option.</x:v>
      </x:c>
      <x:c r="F2" s="50" t="str">
        <x:v>Run a four-week search for suitable commercial spaces near Areeiro, Alameda and Roma-Areeiro, then compare offers, lease terms and competitor positioning across the shortlist.</x:v>
      </x:c>
      <x:c r="G2" s="50" t="str">
        <x:v>reports/figures/11_score_vs_asking_rent.png; reports/tables/recommendation_evidence.csv</x:v>
      </x:c>
    </x:row>
    <x:row r="3" ht="72" customHeight="1">
      <x:c r="A3" s="51" t="n">
        <x:v>2</x:v>
      </x:c>
      <x:c r="B3" s="51" t="str">
        <x:v>Lumiar</x:v>
      </x:c>
      <x:c r="C3" s="51" t="str">
        <x:v>Lower-rent option</x:v>
      </x:c>
      <x:c r="D3" s="52" t="str">
        <x:v>Good transport (67.50), one verified coworking location and the strongest rent opportunity among the final three.</x:v>
      </x:c>
      <x:c r="E3" s="52" t="str">
        <x:v>Its demand proxy (43.33) is relatively weak and the area has a more residential profile.</x:v>
      </x:c>
      <x:c r="F3" s="52" t="str">
        <x:v>Study daytime worker and student demand around Lumiar and Quinta das Conchas metro stations over two weeks, then use the findings when comparing suitable commercial spaces.</x:v>
      </x:c>
      <x:c r="G3" s="52" t="str">
        <x:v>reports/figures/09_recommendation_component_profiles.png; reports/tables/recommendation_evidence.csv</x:v>
      </x:c>
    </x:row>
    <x:row r="4" ht="72" customHeight="1">
      <x:c r="A4" s="53" t="n">
        <x:v>3</x:v>
      </x:c>
      <x:c r="B4" s="53" t="str">
        <x:v>Arroios</x:v>
      </x:c>
      <x:c r="C4" s="53" t="str">
        <x:v>Strong-demand option</x:v>
      </x:c>
      <x:c r="D4" s="54" t="str">
        <x:v>The strongest demand (94.17) and transport (95.00) signals among the final three, with pilot median rent of EUR 17.50/m2/month.</x:v>
      </x:c>
      <x:c r="E4" s="54" t="str">
        <x:v>Eight verified active coworking locations create substantial competition.</x:v>
      </x:c>
      <x:c r="F4" s="54" t="str">
        <x:v>Map competitor capacity, prices and customer segments over two weeks, then use any clear market gap when comparing real property offers across the shortlist.</x:v>
      </x:c>
      <x:c r="G4" s="54" t="str">
        <x:v>reports/figures/10_rent_inclusive_shortlist.png; reports/tables/final_shortlist.csv</x:v>
      </x:c>
    </x:row>
  </x:sheetData>
  <x:pageMargins left="0.7" right="0.7" top="0.75" bottom="0.75" header="0.3" footer="0.3"/>
  <x:tableParts count="1">
    <x:tablePart xmlns:r="http://schemas.openxmlformats.org/officeDocument/2006/relationships" r:id="R631dfc69797a46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0" hidden="0" customWidth="1"/>
    <x:col min="3" max="3" width="58" hidden="0" customWidth="1"/>
  </x:cols>
  <x:sheetData>
    <x:row r="1" ht="34" customHeight="1">
      <x:c r="A1" s="16" t="str">
        <x:v>field</x:v>
      </x:c>
      <x:c r="B1" s="17" t="str">
        <x:v>meaning</x:v>
      </x:c>
      <x:c r="C1" s="18" t="str">
        <x:v>dashboard_use</x:v>
      </x:c>
    </x:row>
    <x:row r="2" ht="48" customHeight="1">
      <x:c r="A2" s="50" t="str">
        <x:v>demand_proxy_score</x:v>
      </x:c>
      <x:c r="B2" s="50" t="str">
        <x:v>0-100 relative demand proxy: 40% working-age population density, 30% office density, and 10% each for cafes, hotels and official higher education.</x:v>
      </x:c>
      <x:c r="C2" s="50" t="str">
        <x:v>Higher means stronger demand signals; it is not measured customer demand or revenue.</x:v>
      </x:c>
    </x:row>
    <x:row r="3" ht="48" customHeight="1">
      <x:c r="A3" s="52" t="str">
        <x:v>transit_access_score</x:v>
      </x:c>
      <x:c r="B3" s="52" t="str">
        <x:v>0-100 relative public-transport accessibility score.</x:v>
      </x:c>
      <x:c r="C3" s="52" t="str">
        <x:v>Higher means stronger accessibility.</x:v>
      </x:c>
    </x:row>
    <x:row r="4" ht="48" customHeight="1">
      <x:c r="A4" s="52" t="str">
        <x:v>competition_opportunity_score</x:v>
      </x:c>
      <x:c r="B4" s="52" t="str">
        <x:v>Inverse score based on verified coworking locations per 10,000 working-age residents.</x:v>
      </x:c>
      <x:c r="C4" s="52" t="str">
        <x:v>Higher means lower observed competition, not guaranteed unmet demand.</x:v>
      </x:c>
    </x:row>
    <x:row r="5" ht="48" customHeight="1">
      <x:c r="A5" s="52" t="str">
        <x:v>rent_opportunity_score</x:v>
      </x:c>
      <x:c r="B5" s="52" t="str">
        <x:v>Inverse rent percentile among the ten rent-covered candidates.</x:v>
      </x:c>
      <x:c r="C5" s="52" t="str">
        <x:v>Higher means lower pilot median asking rent.</x:v>
      </x:c>
    </x:row>
    <x:row r="6" ht="48" customHeight="1">
      <x:c r="A6" s="52" t="str">
        <x:v>pilot_opportunity_score</x:v>
      </x:c>
      <x:c r="B6" s="52" t="str">
        <x:v>35% demand + 25% transport + 25% competition opportunity + 15% rent opportunity.</x:v>
      </x:c>
      <x:c r="C6" s="52" t="str">
        <x:v>Use only for the ten candidates with rent coverage; do not present the top three as a strict ranking.</x:v>
      </x:c>
    </x:row>
    <x:row r="7" ht="48" customHeight="1">
      <x:c r="A7" s="52" t="str">
        <x:v>shortlist_flag</x:v>
      </x:c>
      <x:c r="B7" s="52" t="str">
        <x:v>1 for Areeiro, Lumiar and Arroios; 0 for other parishes.</x:v>
      </x:c>
      <x:c r="C7" s="52" t="str">
        <x:v>Use as a visual-level filter for shortlist comparisons.</x:v>
      </x:c>
    </x:row>
    <x:row r="8" ht="48" customHeight="1">
      <x:c r="A8" s="54" t="str">
        <x:v>chart_color</x:v>
      </x:c>
      <x:c r="B8" s="54" t="str">
        <x:v>Hex colour prepared for the Opportunity Score bar chart.</x:v>
      </x:c>
      <x:c r="C8" s="54" t="str">
        <x:v>Use Data colors &gt; fx &gt; Field value to highlight the three shortlisted parishes.</x:v>
      </x:c>
    </x:row>
  </x:sheetData>
  <x:pageMargins left="0.7" right="0.7" top="0.75" bottom="0.75" header="0.3" footer="0.3"/>
  <x:tableParts count="1">
    <x:tablePart xmlns:r="http://schemas.openxmlformats.org/officeDocument/2006/relationships" r:id="R844655ec93794f73"/>
  </x:tableParts>
</x:worksheet>
</file>